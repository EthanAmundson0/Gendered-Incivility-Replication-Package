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e" sheetId="1" r:id="rId4"/>
    <sheet state="visible" name="Female" sheetId="2" r:id="rId5"/>
    <sheet state="visible" name="Unisex" sheetId="3" r:id="rId6"/>
    <sheet state="visible" name="Odds Analysis - Author" sheetId="4" r:id="rId7"/>
    <sheet state="visible" name="Odds Analysis - Comments" sheetId="5" r:id="rId8"/>
  </sheets>
  <definedNames/>
  <calcPr/>
</workbook>
</file>

<file path=xl/sharedStrings.xml><?xml version="1.0" encoding="utf-8"?>
<sst xmlns="http://schemas.openxmlformats.org/spreadsheetml/2006/main" count="148" uniqueCount="40">
  <si>
    <t>Bitter frustration</t>
  </si>
  <si>
    <t>Impatience</t>
  </si>
  <si>
    <t>Irony</t>
  </si>
  <si>
    <t>Insulting</t>
  </si>
  <si>
    <t>Mocking</t>
  </si>
  <si>
    <t>Threat</t>
  </si>
  <si>
    <t>Vulgarity</t>
  </si>
  <si>
    <t>Entitlement</t>
  </si>
  <si>
    <t>Identity attack/Name-Calling</t>
  </si>
  <si>
    <t>None</t>
  </si>
  <si>
    <t>Towards Male</t>
  </si>
  <si>
    <t>Towards Female</t>
  </si>
  <si>
    <t>Towards Unisex</t>
  </si>
  <si>
    <t>Total Count Author</t>
  </si>
  <si>
    <t>Facing Bitter Frustration</t>
  </si>
  <si>
    <t>Facing Impatience</t>
  </si>
  <si>
    <t>Facing Irony</t>
  </si>
  <si>
    <t>Facing Insulting</t>
  </si>
  <si>
    <t>Facing Mocking</t>
  </si>
  <si>
    <t>Facing Threat</t>
  </si>
  <si>
    <t>Facing Vulgarity</t>
  </si>
  <si>
    <t>Facing Entitlement</t>
  </si>
  <si>
    <t>Facing Identity attack/Name-Calling</t>
  </si>
  <si>
    <t>Male</t>
  </si>
  <si>
    <t>Female</t>
  </si>
  <si>
    <t>Unisex</t>
  </si>
  <si>
    <t>Odds of facing</t>
  </si>
  <si>
    <t>Bitter Frustration</t>
  </si>
  <si>
    <t>Female &amp; Unisex</t>
  </si>
  <si>
    <t>Odds Ratio</t>
  </si>
  <si>
    <t>Female Vs Male</t>
  </si>
  <si>
    <t>Unisex Vs Male</t>
  </si>
  <si>
    <t>Female Vs Unisex</t>
  </si>
  <si>
    <t>Minority Vs Male</t>
  </si>
  <si>
    <t>Probability of facing</t>
  </si>
  <si>
    <t xml:space="preserve">to </t>
  </si>
  <si>
    <t>Total Count Commenter</t>
  </si>
  <si>
    <t xml:space="preserve"> Vulgarity</t>
  </si>
  <si>
    <t>Odds of sending comment type</t>
  </si>
  <si>
    <t>Probability of sending comment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</si>
</sst>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/>
    </xf>
    <xf borderId="0" fillId="6" fontId="2" numFmtId="0" xfId="0" applyFont="1"/>
    <xf borderId="0" fillId="0" fontId="2" numFmtId="0" xfId="0" applyFont="1"/>
    <xf borderId="0" fillId="7" fontId="1" numFmtId="0" xfId="0" applyAlignment="1" applyFill="1" applyFont="1">
      <alignment readingOrder="0"/>
    </xf>
    <xf borderId="0" fillId="7" fontId="2" numFmtId="0" xfId="0" applyFont="1"/>
    <xf borderId="0" fillId="8" fontId="1" numFmtId="0" xfId="0" applyAlignment="1" applyFill="1" applyFont="1">
      <alignment readingOrder="0"/>
    </xf>
    <xf borderId="0" fillId="8" fontId="2" numFmtId="0" xfId="0" applyFont="1"/>
    <xf borderId="0" fillId="0" fontId="2" numFmtId="10" xfId="0" applyFont="1" applyNumberForma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13"/>
    <col customWidth="1" min="10" max="10" width="23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2">
        <v>234.0</v>
      </c>
      <c r="C2" s="2">
        <v>165.0</v>
      </c>
      <c r="D2" s="2">
        <v>36.0</v>
      </c>
      <c r="E2" s="2">
        <v>78.0</v>
      </c>
      <c r="F2" s="2">
        <v>69.0</v>
      </c>
      <c r="G2" s="2">
        <v>15.0</v>
      </c>
      <c r="H2" s="2">
        <v>29.0</v>
      </c>
      <c r="I2" s="2">
        <v>33.0</v>
      </c>
      <c r="J2" s="2">
        <v>11.0</v>
      </c>
      <c r="K2" s="2">
        <v>2529.0</v>
      </c>
    </row>
    <row r="3">
      <c r="A3" s="1" t="s">
        <v>11</v>
      </c>
      <c r="B3" s="2">
        <v>5.0</v>
      </c>
      <c r="C3" s="2">
        <v>1.0</v>
      </c>
      <c r="D3" s="2">
        <v>0.0</v>
      </c>
      <c r="E3" s="2">
        <v>3.0</v>
      </c>
      <c r="F3" s="2">
        <v>3.0</v>
      </c>
      <c r="G3" s="2">
        <v>0.0</v>
      </c>
      <c r="H3" s="2">
        <v>0.0</v>
      </c>
      <c r="I3" s="2">
        <v>0.0</v>
      </c>
      <c r="J3" s="2">
        <v>0.0</v>
      </c>
      <c r="K3" s="2">
        <v>116.0</v>
      </c>
    </row>
    <row r="4">
      <c r="A4" s="1" t="s">
        <v>12</v>
      </c>
      <c r="B4" s="2">
        <v>0.0</v>
      </c>
      <c r="C4" s="2">
        <v>2.0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1.0</v>
      </c>
      <c r="J4" s="2">
        <v>0.0</v>
      </c>
      <c r="K4" s="2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13"/>
    <col customWidth="1" min="10" max="10" width="23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2">
        <v>9.0</v>
      </c>
      <c r="C2" s="2">
        <v>4.0</v>
      </c>
      <c r="D2" s="2">
        <v>4.0</v>
      </c>
      <c r="E2" s="2">
        <v>3.0</v>
      </c>
      <c r="F2" s="2">
        <v>13.0</v>
      </c>
      <c r="G2" s="2">
        <v>1.0</v>
      </c>
      <c r="H2" s="2">
        <v>1.0</v>
      </c>
      <c r="I2" s="2">
        <v>2.0</v>
      </c>
      <c r="J2" s="2">
        <v>0.0</v>
      </c>
      <c r="K2" s="2">
        <v>160.0</v>
      </c>
    </row>
    <row r="3">
      <c r="A3" s="1" t="s">
        <v>11</v>
      </c>
      <c r="B3" s="2">
        <v>5.0</v>
      </c>
      <c r="C3" s="2">
        <v>1.0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38.0</v>
      </c>
    </row>
    <row r="4">
      <c r="A4" s="1" t="s">
        <v>12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13"/>
    <col customWidth="1" min="10" max="10" width="23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2">
        <v>4.0</v>
      </c>
      <c r="C2" s="2">
        <v>5.0</v>
      </c>
      <c r="D2" s="2">
        <v>0.0</v>
      </c>
      <c r="E2" s="2">
        <v>1.0</v>
      </c>
      <c r="F2" s="2">
        <v>5.0</v>
      </c>
      <c r="G2" s="2">
        <v>0.0</v>
      </c>
      <c r="H2" s="2">
        <v>0.0</v>
      </c>
      <c r="I2" s="2">
        <v>0.0</v>
      </c>
      <c r="J2" s="2">
        <v>0.0</v>
      </c>
      <c r="K2" s="2">
        <v>39.0</v>
      </c>
    </row>
    <row r="3">
      <c r="A3" s="1" t="s">
        <v>11</v>
      </c>
      <c r="B3" s="2">
        <v>1.0</v>
      </c>
      <c r="C3" s="2">
        <v>1.0</v>
      </c>
      <c r="D3" s="2">
        <v>0.0</v>
      </c>
      <c r="E3" s="2">
        <v>1.0</v>
      </c>
      <c r="F3" s="2">
        <v>0.0</v>
      </c>
      <c r="G3" s="2">
        <v>0.0</v>
      </c>
      <c r="H3" s="2">
        <v>0.0</v>
      </c>
      <c r="I3" s="2">
        <v>1.0</v>
      </c>
      <c r="J3" s="2">
        <v>1.0</v>
      </c>
      <c r="K3" s="2">
        <v>4.0</v>
      </c>
    </row>
    <row r="4">
      <c r="A4" s="1" t="s">
        <v>12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2.0</v>
      </c>
      <c r="I4" s="2">
        <v>1.0</v>
      </c>
      <c r="J4" s="2">
        <v>0.0</v>
      </c>
      <c r="K4" s="2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0"/>
    <col customWidth="1" min="4" max="4" width="20.5"/>
    <col customWidth="1" min="5" max="5" width="15.5"/>
    <col customWidth="1" min="6" max="6" width="10.88"/>
    <col customWidth="1" min="7" max="7" width="13.75"/>
    <col customWidth="1" min="8" max="8" width="13.63"/>
    <col customWidth="1" min="9" max="9" width="11.88"/>
    <col customWidth="1" min="10" max="10" width="23.75"/>
    <col customWidth="1" min="11" max="11" width="15.88"/>
    <col customWidth="1" min="12" max="12" width="29.13"/>
  </cols>
  <sheetData>
    <row r="1">
      <c r="A1" s="3"/>
      <c r="B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>
      <c r="A2" s="1" t="s">
        <v>23</v>
      </c>
      <c r="B2" s="4">
        <v>3463.0</v>
      </c>
      <c r="C2" s="5"/>
      <c r="D2" s="4">
        <v>247.0</v>
      </c>
      <c r="E2" s="4">
        <v>174.0</v>
      </c>
      <c r="F2" s="4">
        <v>40.0</v>
      </c>
      <c r="G2" s="4">
        <v>82.0</v>
      </c>
      <c r="H2" s="4">
        <v>87.0</v>
      </c>
      <c r="I2" s="4">
        <v>16.0</v>
      </c>
      <c r="J2" s="4">
        <v>30.0</v>
      </c>
      <c r="K2" s="4">
        <v>35.0</v>
      </c>
      <c r="L2" s="4">
        <v>11.0</v>
      </c>
    </row>
    <row r="3">
      <c r="A3" s="1" t="s">
        <v>24</v>
      </c>
      <c r="B3" s="6">
        <v>181.0</v>
      </c>
      <c r="C3" s="7"/>
      <c r="D3" s="6">
        <v>11.0</v>
      </c>
      <c r="E3" s="6">
        <v>3.0</v>
      </c>
      <c r="F3" s="6">
        <v>0.0</v>
      </c>
      <c r="G3" s="6">
        <v>4.0</v>
      </c>
      <c r="H3" s="6">
        <v>3.0</v>
      </c>
      <c r="I3" s="6">
        <v>0.0</v>
      </c>
      <c r="J3" s="6">
        <v>0.0</v>
      </c>
      <c r="K3" s="6">
        <v>1.0</v>
      </c>
      <c r="L3" s="6">
        <v>1.0</v>
      </c>
    </row>
    <row r="4">
      <c r="A4" s="1" t="s">
        <v>25</v>
      </c>
      <c r="B4" s="8">
        <v>18.0</v>
      </c>
      <c r="C4" s="9"/>
      <c r="D4" s="8">
        <v>0.0</v>
      </c>
      <c r="E4" s="8">
        <v>2.0</v>
      </c>
      <c r="F4" s="8">
        <v>0.0</v>
      </c>
      <c r="G4" s="8">
        <v>0.0</v>
      </c>
      <c r="H4" s="8">
        <v>0.0</v>
      </c>
      <c r="I4" s="8">
        <v>0.0</v>
      </c>
      <c r="J4" s="8">
        <v>2.0</v>
      </c>
      <c r="K4" s="8">
        <v>2.0</v>
      </c>
      <c r="L4" s="8">
        <v>0.0</v>
      </c>
    </row>
    <row r="10">
      <c r="A10" s="10" t="s">
        <v>26</v>
      </c>
      <c r="B10" s="11"/>
      <c r="C10" s="11"/>
      <c r="D10" s="11"/>
      <c r="E10" s="11"/>
      <c r="F10" s="11"/>
      <c r="G10" s="11"/>
      <c r="H10" s="11"/>
      <c r="I10" s="11"/>
      <c r="J10" s="11"/>
    </row>
    <row r="11">
      <c r="B11" s="1" t="s">
        <v>27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</row>
    <row r="12">
      <c r="A12" s="1" t="s">
        <v>23</v>
      </c>
      <c r="B12" s="12">
        <f t="shared" ref="B12:B14" si="1">D2/(B2-D2)</f>
        <v>0.07680348259</v>
      </c>
      <c r="C12" s="12">
        <f t="shared" ref="C12:C14" si="2">E2/(B2-E2)</f>
        <v>0.05290361812</v>
      </c>
      <c r="D12" s="12">
        <f t="shared" ref="D12:D14" si="3">F2/(B2-F2)</f>
        <v>0.01168565586</v>
      </c>
      <c r="E12" s="12">
        <f t="shared" ref="E12:E14" si="4">G2/(B2-G2)</f>
        <v>0.02425317953</v>
      </c>
      <c r="F12" s="12">
        <f t="shared" ref="F12:F14" si="5">H2/(B2-H2)</f>
        <v>0.02577014218</v>
      </c>
      <c r="G12" s="12">
        <f t="shared" ref="G12:G14" si="6">I2/(B2-I2)</f>
        <v>0.004641717435</v>
      </c>
      <c r="H12" s="12">
        <f t="shared" ref="H12:H14" si="7">J2/(B2-J2)</f>
        <v>0.008738712496</v>
      </c>
      <c r="I12" s="12">
        <f t="shared" ref="I12:I14" si="8">K2/(B2-K2)</f>
        <v>0.01021003501</v>
      </c>
      <c r="J12" s="12">
        <f t="shared" ref="J12:J14" si="9">L2/(B2-L2)</f>
        <v>0.003186558517</v>
      </c>
    </row>
    <row r="13">
      <c r="A13" s="1" t="s">
        <v>24</v>
      </c>
      <c r="B13" s="12">
        <f t="shared" si="1"/>
        <v>0.06470588235</v>
      </c>
      <c r="C13" s="12">
        <f t="shared" si="2"/>
        <v>0.01685393258</v>
      </c>
      <c r="D13" s="12">
        <f t="shared" si="3"/>
        <v>0</v>
      </c>
      <c r="E13" s="12">
        <f t="shared" si="4"/>
        <v>0.02259887006</v>
      </c>
      <c r="F13" s="12">
        <f t="shared" si="5"/>
        <v>0.01685393258</v>
      </c>
      <c r="G13" s="12">
        <f t="shared" si="6"/>
        <v>0</v>
      </c>
      <c r="H13" s="12">
        <f t="shared" si="7"/>
        <v>0</v>
      </c>
      <c r="I13" s="12">
        <f t="shared" si="8"/>
        <v>0.005555555556</v>
      </c>
      <c r="J13" s="12">
        <f t="shared" si="9"/>
        <v>0.005555555556</v>
      </c>
    </row>
    <row r="14">
      <c r="A14" s="1" t="s">
        <v>25</v>
      </c>
      <c r="B14" s="12">
        <f t="shared" si="1"/>
        <v>0</v>
      </c>
      <c r="C14" s="12">
        <f t="shared" si="2"/>
        <v>0.125</v>
      </c>
      <c r="D14" s="12">
        <f t="shared" si="3"/>
        <v>0</v>
      </c>
      <c r="E14" s="12">
        <f t="shared" si="4"/>
        <v>0</v>
      </c>
      <c r="F14" s="12">
        <f t="shared" si="5"/>
        <v>0</v>
      </c>
      <c r="G14" s="12">
        <f t="shared" si="6"/>
        <v>0</v>
      </c>
      <c r="H14" s="12">
        <f t="shared" si="7"/>
        <v>0.125</v>
      </c>
      <c r="I14" s="12">
        <f t="shared" si="8"/>
        <v>0.125</v>
      </c>
      <c r="J14" s="12">
        <f t="shared" si="9"/>
        <v>0</v>
      </c>
    </row>
    <row r="15">
      <c r="A15" s="1" t="s">
        <v>28</v>
      </c>
      <c r="B15" s="12">
        <f t="shared" ref="B15:J15" si="10">(D3+D4)/(($B3+$B4)-(D3+D4))</f>
        <v>0.0585106383</v>
      </c>
      <c r="C15" s="12">
        <f t="shared" si="10"/>
        <v>0.02577319588</v>
      </c>
      <c r="D15" s="12">
        <f t="shared" si="10"/>
        <v>0</v>
      </c>
      <c r="E15" s="12">
        <f t="shared" si="10"/>
        <v>0.02051282051</v>
      </c>
      <c r="F15" s="12">
        <f t="shared" si="10"/>
        <v>0.01530612245</v>
      </c>
      <c r="G15" s="12">
        <f t="shared" si="10"/>
        <v>0</v>
      </c>
      <c r="H15" s="12">
        <f t="shared" si="10"/>
        <v>0.01015228426</v>
      </c>
      <c r="I15" s="12">
        <f t="shared" si="10"/>
        <v>0.01530612245</v>
      </c>
      <c r="J15" s="12">
        <f t="shared" si="10"/>
        <v>0.005050505051</v>
      </c>
    </row>
    <row r="18">
      <c r="A18" s="13" t="s">
        <v>29</v>
      </c>
      <c r="B18" s="14"/>
      <c r="C18" s="14"/>
      <c r="D18" s="14"/>
      <c r="E18" s="14"/>
      <c r="F18" s="14"/>
      <c r="G18" s="14"/>
      <c r="H18" s="14"/>
      <c r="I18" s="14"/>
      <c r="J18" s="14"/>
    </row>
    <row r="19">
      <c r="A19" s="1"/>
      <c r="B19" s="1" t="s">
        <v>27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</row>
    <row r="20">
      <c r="A20" s="1" t="s">
        <v>30</v>
      </c>
      <c r="B20" s="12">
        <f t="shared" ref="B20:J20" si="11">B13/B12</f>
        <v>0.8424863063</v>
      </c>
      <c r="C20" s="12">
        <f t="shared" si="11"/>
        <v>0.3185780705</v>
      </c>
      <c r="D20" s="12">
        <f t="shared" si="11"/>
        <v>0</v>
      </c>
      <c r="E20" s="12">
        <f t="shared" si="11"/>
        <v>0.9317899959</v>
      </c>
      <c r="F20" s="12">
        <f t="shared" si="11"/>
        <v>0.6540100736</v>
      </c>
      <c r="G20" s="12">
        <f t="shared" si="11"/>
        <v>0</v>
      </c>
      <c r="H20" s="12">
        <f t="shared" si="11"/>
        <v>0</v>
      </c>
      <c r="I20" s="12">
        <f t="shared" si="11"/>
        <v>0.5441269841</v>
      </c>
      <c r="J20" s="12">
        <f t="shared" si="11"/>
        <v>1.743434343</v>
      </c>
    </row>
    <row r="21">
      <c r="A21" s="1" t="s">
        <v>31</v>
      </c>
      <c r="B21" s="12">
        <f t="shared" ref="B21:J21" si="12">B14/B12</f>
        <v>0</v>
      </c>
      <c r="C21" s="12">
        <f t="shared" si="12"/>
        <v>2.362787356</v>
      </c>
      <c r="D21" s="12">
        <f t="shared" si="12"/>
        <v>0</v>
      </c>
      <c r="E21" s="12">
        <f t="shared" si="12"/>
        <v>0</v>
      </c>
      <c r="F21" s="12">
        <f t="shared" si="12"/>
        <v>0</v>
      </c>
      <c r="G21" s="12">
        <f t="shared" si="12"/>
        <v>0</v>
      </c>
      <c r="H21" s="12">
        <f t="shared" si="12"/>
        <v>14.30416667</v>
      </c>
      <c r="I21" s="12">
        <f t="shared" si="12"/>
        <v>12.24285714</v>
      </c>
      <c r="J21" s="12">
        <f t="shared" si="12"/>
        <v>0</v>
      </c>
    </row>
    <row r="22">
      <c r="A22" s="1" t="s">
        <v>32</v>
      </c>
      <c r="B22" s="2">
        <v>0.0</v>
      </c>
      <c r="C22" s="12">
        <f>C13/C14</f>
        <v>0.1348314607</v>
      </c>
      <c r="D22" s="2">
        <v>0.0</v>
      </c>
      <c r="E22" s="2">
        <v>0.0</v>
      </c>
      <c r="F22" s="2">
        <v>0.0</v>
      </c>
      <c r="G22" s="2">
        <v>0.0</v>
      </c>
      <c r="H22" s="12">
        <f t="shared" ref="H22:I22" si="13">H13/H14</f>
        <v>0</v>
      </c>
      <c r="I22" s="12">
        <f t="shared" si="13"/>
        <v>0.04444444444</v>
      </c>
      <c r="J22" s="2">
        <v>0.0</v>
      </c>
    </row>
    <row r="23">
      <c r="A23" s="1" t="s">
        <v>33</v>
      </c>
      <c r="B23" s="12">
        <f t="shared" ref="B23:J23" si="14">B15/B12</f>
        <v>0.7618227237</v>
      </c>
      <c r="C23" s="12">
        <f t="shared" si="14"/>
        <v>0.4871726508</v>
      </c>
      <c r="D23" s="12">
        <f t="shared" si="14"/>
        <v>0</v>
      </c>
      <c r="E23" s="12">
        <f t="shared" si="14"/>
        <v>0.8457786116</v>
      </c>
      <c r="F23" s="12">
        <f t="shared" si="14"/>
        <v>0.593947924</v>
      </c>
      <c r="G23" s="12">
        <f t="shared" si="14"/>
        <v>0</v>
      </c>
      <c r="H23" s="12">
        <f t="shared" si="14"/>
        <v>1.161759729</v>
      </c>
      <c r="I23" s="12">
        <f t="shared" si="14"/>
        <v>1.499125364</v>
      </c>
      <c r="J23" s="12">
        <f t="shared" si="14"/>
        <v>1.584940312</v>
      </c>
    </row>
    <row r="26">
      <c r="A26" s="15" t="s">
        <v>34</v>
      </c>
      <c r="B26" s="16"/>
      <c r="C26" s="16"/>
      <c r="D26" s="16"/>
      <c r="E26" s="16"/>
      <c r="F26" s="16"/>
      <c r="G26" s="16"/>
      <c r="H26" s="16"/>
      <c r="I26" s="16"/>
      <c r="J26" s="16"/>
    </row>
    <row r="27">
      <c r="B27" s="1" t="s">
        <v>27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7</v>
      </c>
      <c r="J27" s="1" t="s">
        <v>8</v>
      </c>
    </row>
    <row r="28">
      <c r="A28" s="1" t="s">
        <v>23</v>
      </c>
      <c r="B28" s="17">
        <f t="shared" ref="B28:J28" si="15">D2/$B2</f>
        <v>0.07132544037</v>
      </c>
      <c r="C28" s="17">
        <f t="shared" si="15"/>
        <v>0.05024545192</v>
      </c>
      <c r="D28" s="17">
        <f t="shared" si="15"/>
        <v>0.0115506786</v>
      </c>
      <c r="E28" s="17">
        <f t="shared" si="15"/>
        <v>0.02367889113</v>
      </c>
      <c r="F28" s="17">
        <f t="shared" si="15"/>
        <v>0.02512272596</v>
      </c>
      <c r="G28" s="17">
        <f t="shared" si="15"/>
        <v>0.004620271441</v>
      </c>
      <c r="H28" s="17">
        <f t="shared" si="15"/>
        <v>0.008663008952</v>
      </c>
      <c r="I28" s="17">
        <f t="shared" si="15"/>
        <v>0.01010684378</v>
      </c>
      <c r="J28" s="17">
        <f t="shared" si="15"/>
        <v>0.003176436616</v>
      </c>
    </row>
    <row r="29">
      <c r="A29" s="1" t="s">
        <v>24</v>
      </c>
      <c r="B29" s="17">
        <f t="shared" ref="B29:J29" si="16">D3/$B3</f>
        <v>0.06077348066</v>
      </c>
      <c r="C29" s="17">
        <f t="shared" si="16"/>
        <v>0.01657458564</v>
      </c>
      <c r="D29" s="17">
        <f t="shared" si="16"/>
        <v>0</v>
      </c>
      <c r="E29" s="17">
        <f t="shared" si="16"/>
        <v>0.02209944751</v>
      </c>
      <c r="F29" s="17">
        <f t="shared" si="16"/>
        <v>0.01657458564</v>
      </c>
      <c r="G29" s="17">
        <f t="shared" si="16"/>
        <v>0</v>
      </c>
      <c r="H29" s="17">
        <f t="shared" si="16"/>
        <v>0</v>
      </c>
      <c r="I29" s="17">
        <f t="shared" si="16"/>
        <v>0.005524861878</v>
      </c>
      <c r="J29" s="17">
        <f t="shared" si="16"/>
        <v>0.005524861878</v>
      </c>
    </row>
    <row r="30">
      <c r="A30" s="1" t="s">
        <v>25</v>
      </c>
      <c r="B30" s="17">
        <f t="shared" ref="B30:J30" si="17">D4/$B4</f>
        <v>0</v>
      </c>
      <c r="C30" s="17">
        <f t="shared" si="17"/>
        <v>0.1111111111</v>
      </c>
      <c r="D30" s="17">
        <f t="shared" si="17"/>
        <v>0</v>
      </c>
      <c r="E30" s="17">
        <f t="shared" si="17"/>
        <v>0</v>
      </c>
      <c r="F30" s="17">
        <f t="shared" si="17"/>
        <v>0</v>
      </c>
      <c r="G30" s="17">
        <f t="shared" si="17"/>
        <v>0</v>
      </c>
      <c r="H30" s="17">
        <f t="shared" si="17"/>
        <v>0.1111111111</v>
      </c>
      <c r="I30" s="17">
        <f t="shared" si="17"/>
        <v>0.1111111111</v>
      </c>
      <c r="J30" s="17">
        <f t="shared" si="17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0"/>
    <col customWidth="1" min="4" max="4" width="20.5"/>
    <col customWidth="1" min="5" max="5" width="15.5"/>
    <col customWidth="1" min="6" max="6" width="10.88"/>
    <col customWidth="1" min="7" max="7" width="13.75"/>
    <col customWidth="1" min="8" max="8" width="13.63"/>
    <col customWidth="1" min="9" max="9" width="11.88"/>
    <col customWidth="1" min="10" max="10" width="23.75"/>
    <col customWidth="1" min="11" max="11" width="15.88"/>
    <col customWidth="1" min="12" max="12" width="29.13"/>
  </cols>
  <sheetData>
    <row r="1">
      <c r="A1" s="18" t="s">
        <v>35</v>
      </c>
      <c r="B1" s="1" t="s">
        <v>36</v>
      </c>
      <c r="D1" s="1" t="s">
        <v>27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37</v>
      </c>
      <c r="K1" s="1" t="s">
        <v>7</v>
      </c>
      <c r="L1" s="1" t="s">
        <v>8</v>
      </c>
    </row>
    <row r="2">
      <c r="A2" s="1" t="s">
        <v>23</v>
      </c>
      <c r="B2" s="4">
        <v>3348.0</v>
      </c>
      <c r="C2" s="5"/>
      <c r="D2" s="4">
        <v>239.0</v>
      </c>
      <c r="E2" s="4">
        <v>168.0</v>
      </c>
      <c r="F2" s="4">
        <v>36.0</v>
      </c>
      <c r="G2" s="4">
        <v>81.0</v>
      </c>
      <c r="H2" s="4">
        <v>72.0</v>
      </c>
      <c r="I2" s="4">
        <v>15.0</v>
      </c>
      <c r="J2" s="4">
        <v>29.0</v>
      </c>
      <c r="K2" s="4">
        <v>34.0</v>
      </c>
      <c r="L2" s="4">
        <v>11.0</v>
      </c>
    </row>
    <row r="3">
      <c r="A3" s="1" t="s">
        <v>24</v>
      </c>
      <c r="B3" s="6">
        <v>241.0</v>
      </c>
      <c r="C3" s="7"/>
      <c r="D3" s="6">
        <v>14.0</v>
      </c>
      <c r="E3" s="6">
        <v>5.0</v>
      </c>
      <c r="F3" s="6">
        <v>4.0</v>
      </c>
      <c r="G3" s="6">
        <v>3.0</v>
      </c>
      <c r="H3" s="6">
        <v>13.0</v>
      </c>
      <c r="I3" s="6">
        <v>1.0</v>
      </c>
      <c r="J3" s="6">
        <v>1.0</v>
      </c>
      <c r="K3" s="6">
        <v>2.0</v>
      </c>
      <c r="L3" s="6">
        <v>0.0</v>
      </c>
    </row>
    <row r="4">
      <c r="A4" s="1" t="s">
        <v>25</v>
      </c>
      <c r="B4" s="8">
        <v>73.0</v>
      </c>
      <c r="C4" s="9"/>
      <c r="D4" s="8">
        <v>5.0</v>
      </c>
      <c r="E4" s="8">
        <v>6.0</v>
      </c>
      <c r="F4" s="8">
        <v>0.0</v>
      </c>
      <c r="G4" s="8">
        <v>2.0</v>
      </c>
      <c r="H4" s="8">
        <v>5.0</v>
      </c>
      <c r="I4" s="8">
        <v>0.0</v>
      </c>
      <c r="J4" s="8">
        <v>0.0</v>
      </c>
      <c r="K4" s="8">
        <v>2.0</v>
      </c>
      <c r="L4" s="8">
        <v>1.0</v>
      </c>
    </row>
    <row r="10">
      <c r="A10" s="10" t="s">
        <v>38</v>
      </c>
      <c r="B10" s="11"/>
      <c r="C10" s="11"/>
      <c r="D10" s="11"/>
      <c r="E10" s="11"/>
      <c r="F10" s="11"/>
      <c r="G10" s="11"/>
      <c r="H10" s="11"/>
      <c r="I10" s="11"/>
      <c r="J10" s="11"/>
    </row>
    <row r="11">
      <c r="B11" s="1" t="s">
        <v>27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</row>
    <row r="12">
      <c r="A12" s="1" t="s">
        <v>23</v>
      </c>
      <c r="B12" s="12">
        <f t="shared" ref="B12:B14" si="1">D2/(B2-D2)</f>
        <v>0.0768735928</v>
      </c>
      <c r="C12" s="12">
        <f t="shared" ref="C12:C14" si="2">E2/(B2-E2)</f>
        <v>0.05283018868</v>
      </c>
      <c r="D12" s="12">
        <f t="shared" ref="D12:D14" si="3">F2/(B2-F2)</f>
        <v>0.01086956522</v>
      </c>
      <c r="E12" s="12">
        <f t="shared" ref="E12:E14" si="4">G2/(B2-G2)</f>
        <v>0.02479338843</v>
      </c>
      <c r="F12" s="12">
        <f t="shared" ref="F12:F14" si="5">H2/(B2-H2)</f>
        <v>0.02197802198</v>
      </c>
      <c r="G12" s="12">
        <f t="shared" ref="G12:G14" si="6">I2/(B2-I2)</f>
        <v>0.004500450045</v>
      </c>
      <c r="H12" s="12">
        <f t="shared" ref="H12:H14" si="7">J2/(B2-J2)</f>
        <v>0.008737571558</v>
      </c>
      <c r="I12" s="12">
        <f t="shared" ref="I12:I14" si="8">K2/(B2-K2)</f>
        <v>0.01025950513</v>
      </c>
      <c r="J12" s="12">
        <f t="shared" ref="J12:J14" si="9">L2/(B2-L2)</f>
        <v>0.003296373989</v>
      </c>
    </row>
    <row r="13">
      <c r="A13" s="1" t="s">
        <v>24</v>
      </c>
      <c r="B13" s="12">
        <f t="shared" si="1"/>
        <v>0.06167400881</v>
      </c>
      <c r="C13" s="12">
        <f t="shared" si="2"/>
        <v>0.02118644068</v>
      </c>
      <c r="D13" s="12">
        <f t="shared" si="3"/>
        <v>0.01687763713</v>
      </c>
      <c r="E13" s="12">
        <f t="shared" si="4"/>
        <v>0.01260504202</v>
      </c>
      <c r="F13" s="12">
        <f t="shared" si="5"/>
        <v>0.05701754386</v>
      </c>
      <c r="G13" s="12">
        <f t="shared" si="6"/>
        <v>0.004166666667</v>
      </c>
      <c r="H13" s="12">
        <f t="shared" si="7"/>
        <v>0.004166666667</v>
      </c>
      <c r="I13" s="12">
        <f t="shared" si="8"/>
        <v>0.008368200837</v>
      </c>
      <c r="J13" s="12">
        <f t="shared" si="9"/>
        <v>0</v>
      </c>
    </row>
    <row r="14">
      <c r="A14" s="1" t="s">
        <v>25</v>
      </c>
      <c r="B14" s="12">
        <f t="shared" si="1"/>
        <v>0.07352941176</v>
      </c>
      <c r="C14" s="12">
        <f t="shared" si="2"/>
        <v>0.08955223881</v>
      </c>
      <c r="D14" s="12">
        <f t="shared" si="3"/>
        <v>0</v>
      </c>
      <c r="E14" s="12">
        <f t="shared" si="4"/>
        <v>0.02816901408</v>
      </c>
      <c r="F14" s="12">
        <f t="shared" si="5"/>
        <v>0.07352941176</v>
      </c>
      <c r="G14" s="12">
        <f t="shared" si="6"/>
        <v>0</v>
      </c>
      <c r="H14" s="12">
        <f t="shared" si="7"/>
        <v>0</v>
      </c>
      <c r="I14" s="12">
        <f t="shared" si="8"/>
        <v>0.02816901408</v>
      </c>
      <c r="J14" s="12">
        <f t="shared" si="9"/>
        <v>0.01388888889</v>
      </c>
    </row>
    <row r="15">
      <c r="A15" s="1" t="s">
        <v>28</v>
      </c>
      <c r="B15" s="12">
        <f t="shared" ref="B15:J15" si="10">(D3+D4)/(($B3+$B4)-(D3+D4))</f>
        <v>0.06440677966</v>
      </c>
      <c r="C15" s="12">
        <f t="shared" si="10"/>
        <v>0.03630363036</v>
      </c>
      <c r="D15" s="12">
        <f t="shared" si="10"/>
        <v>0.01290322581</v>
      </c>
      <c r="E15" s="12">
        <f t="shared" si="10"/>
        <v>0.01618122977</v>
      </c>
      <c r="F15" s="12">
        <f t="shared" si="10"/>
        <v>0.06081081081</v>
      </c>
      <c r="G15" s="12">
        <f t="shared" si="10"/>
        <v>0.003194888179</v>
      </c>
      <c r="H15" s="12">
        <f t="shared" si="10"/>
        <v>0.003194888179</v>
      </c>
      <c r="I15" s="12">
        <f t="shared" si="10"/>
        <v>0.01290322581</v>
      </c>
      <c r="J15" s="12">
        <f t="shared" si="10"/>
        <v>0.003194888179</v>
      </c>
    </row>
    <row r="18">
      <c r="A18" s="13" t="s">
        <v>29</v>
      </c>
      <c r="B18" s="14"/>
      <c r="C18" s="14"/>
      <c r="D18" s="14"/>
      <c r="E18" s="14"/>
      <c r="F18" s="14"/>
      <c r="G18" s="14"/>
      <c r="H18" s="14"/>
      <c r="I18" s="14"/>
      <c r="J18" s="14"/>
    </row>
    <row r="19">
      <c r="A19" s="1"/>
      <c r="B19" s="1" t="s">
        <v>27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</row>
    <row r="20">
      <c r="A20" s="1" t="s">
        <v>30</v>
      </c>
      <c r="B20" s="12">
        <f t="shared" ref="B20:J20" si="11">B13/B12</f>
        <v>0.802278215</v>
      </c>
      <c r="C20" s="12">
        <f t="shared" si="11"/>
        <v>0.4010290557</v>
      </c>
      <c r="D20" s="12">
        <f t="shared" si="11"/>
        <v>1.552742616</v>
      </c>
      <c r="E20" s="12">
        <f t="shared" si="11"/>
        <v>0.5084033613</v>
      </c>
      <c r="F20" s="12">
        <f t="shared" si="11"/>
        <v>2.594298246</v>
      </c>
      <c r="G20" s="12">
        <f t="shared" si="11"/>
        <v>0.9258333333</v>
      </c>
      <c r="H20" s="12">
        <f t="shared" si="11"/>
        <v>0.4768678161</v>
      </c>
      <c r="I20" s="12">
        <f t="shared" si="11"/>
        <v>0.815653458</v>
      </c>
      <c r="J20" s="12">
        <f t="shared" si="11"/>
        <v>0</v>
      </c>
    </row>
    <row r="21">
      <c r="A21" s="1" t="s">
        <v>31</v>
      </c>
      <c r="B21" s="12">
        <f t="shared" ref="B21:J21" si="12">B14/B12</f>
        <v>0.9564976618</v>
      </c>
      <c r="C21" s="12">
        <f t="shared" si="12"/>
        <v>1.695095949</v>
      </c>
      <c r="D21" s="12">
        <f t="shared" si="12"/>
        <v>0</v>
      </c>
      <c r="E21" s="12">
        <f t="shared" si="12"/>
        <v>1.136150235</v>
      </c>
      <c r="F21" s="12">
        <f t="shared" si="12"/>
        <v>3.345588235</v>
      </c>
      <c r="G21" s="12">
        <f t="shared" si="12"/>
        <v>0</v>
      </c>
      <c r="H21" s="12">
        <f t="shared" si="12"/>
        <v>0</v>
      </c>
      <c r="I21" s="12">
        <f t="shared" si="12"/>
        <v>2.745650373</v>
      </c>
      <c r="J21" s="12">
        <f t="shared" si="12"/>
        <v>4.213383838</v>
      </c>
    </row>
    <row r="22">
      <c r="A22" s="1" t="s">
        <v>32</v>
      </c>
      <c r="B22" s="2">
        <f t="shared" ref="B22:C22" si="13">B13/B14</f>
        <v>0.8387665198</v>
      </c>
      <c r="C22" s="12">
        <f t="shared" si="13"/>
        <v>0.2365819209</v>
      </c>
      <c r="D22" s="2">
        <v>0.0</v>
      </c>
      <c r="E22" s="2">
        <f t="shared" ref="E22:F22" si="14">E13/E14</f>
        <v>0.4474789916</v>
      </c>
      <c r="F22" s="2">
        <f t="shared" si="14"/>
        <v>0.7754385965</v>
      </c>
      <c r="G22" s="2">
        <v>0.0</v>
      </c>
      <c r="H22" s="2">
        <v>0.0</v>
      </c>
      <c r="I22" s="12">
        <f t="shared" ref="I22:J22" si="15">I13/I14</f>
        <v>0.2970711297</v>
      </c>
      <c r="J22" s="2">
        <f t="shared" si="15"/>
        <v>0</v>
      </c>
    </row>
    <row r="23">
      <c r="A23" s="1" t="s">
        <v>33</v>
      </c>
      <c r="B23" s="12">
        <f t="shared" ref="B23:J23" si="16">B15/B12</f>
        <v>0.8378271045</v>
      </c>
      <c r="C23" s="12">
        <f t="shared" si="16"/>
        <v>0.6871758604</v>
      </c>
      <c r="D23" s="12">
        <f t="shared" si="16"/>
        <v>1.187096774</v>
      </c>
      <c r="E23" s="12">
        <f t="shared" si="16"/>
        <v>0.6526429342</v>
      </c>
      <c r="F23" s="12">
        <f t="shared" si="16"/>
        <v>2.766891892</v>
      </c>
      <c r="G23" s="12">
        <f t="shared" si="16"/>
        <v>0.7099041534</v>
      </c>
      <c r="H23" s="12">
        <f t="shared" si="16"/>
        <v>0.3656494436</v>
      </c>
      <c r="I23" s="12">
        <f t="shared" si="16"/>
        <v>1.257685009</v>
      </c>
      <c r="J23" s="12">
        <f t="shared" si="16"/>
        <v>0.9692128957</v>
      </c>
    </row>
    <row r="26">
      <c r="A26" s="15" t="s">
        <v>39</v>
      </c>
      <c r="B26" s="16"/>
      <c r="C26" s="16"/>
      <c r="D26" s="16"/>
      <c r="E26" s="16"/>
      <c r="F26" s="16"/>
      <c r="G26" s="16"/>
      <c r="H26" s="16"/>
      <c r="I26" s="16"/>
      <c r="J26" s="16"/>
    </row>
    <row r="27">
      <c r="B27" s="1" t="s">
        <v>27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7</v>
      </c>
      <c r="J27" s="1" t="s">
        <v>8</v>
      </c>
    </row>
    <row r="28">
      <c r="A28" s="1" t="s">
        <v>23</v>
      </c>
      <c r="B28" s="17">
        <f t="shared" ref="B28:J28" si="17">D2/$B2</f>
        <v>0.07138590203</v>
      </c>
      <c r="C28" s="17">
        <f t="shared" si="17"/>
        <v>0.05017921147</v>
      </c>
      <c r="D28" s="17">
        <f t="shared" si="17"/>
        <v>0.01075268817</v>
      </c>
      <c r="E28" s="17">
        <f t="shared" si="17"/>
        <v>0.02419354839</v>
      </c>
      <c r="F28" s="17">
        <f t="shared" si="17"/>
        <v>0.02150537634</v>
      </c>
      <c r="G28" s="17">
        <f t="shared" si="17"/>
        <v>0.004480286738</v>
      </c>
      <c r="H28" s="17">
        <f t="shared" si="17"/>
        <v>0.008661887694</v>
      </c>
      <c r="I28" s="17">
        <f t="shared" si="17"/>
        <v>0.01015531661</v>
      </c>
      <c r="J28" s="17">
        <f t="shared" si="17"/>
        <v>0.003285543608</v>
      </c>
    </row>
    <row r="29">
      <c r="A29" s="1" t="s">
        <v>24</v>
      </c>
      <c r="B29" s="17">
        <f t="shared" ref="B29:J29" si="18">D3/$B3</f>
        <v>0.05809128631</v>
      </c>
      <c r="C29" s="17">
        <f t="shared" si="18"/>
        <v>0.02074688797</v>
      </c>
      <c r="D29" s="17">
        <f t="shared" si="18"/>
        <v>0.01659751037</v>
      </c>
      <c r="E29" s="17">
        <f t="shared" si="18"/>
        <v>0.01244813278</v>
      </c>
      <c r="F29" s="17">
        <f t="shared" si="18"/>
        <v>0.05394190871</v>
      </c>
      <c r="G29" s="17">
        <f t="shared" si="18"/>
        <v>0.004149377593</v>
      </c>
      <c r="H29" s="17">
        <f t="shared" si="18"/>
        <v>0.004149377593</v>
      </c>
      <c r="I29" s="17">
        <f t="shared" si="18"/>
        <v>0.008298755187</v>
      </c>
      <c r="J29" s="17">
        <f t="shared" si="18"/>
        <v>0</v>
      </c>
    </row>
    <row r="30">
      <c r="A30" s="1" t="s">
        <v>25</v>
      </c>
      <c r="B30" s="17">
        <f t="shared" ref="B30:J30" si="19">D4/$B4</f>
        <v>0.06849315068</v>
      </c>
      <c r="C30" s="17">
        <f t="shared" si="19"/>
        <v>0.08219178082</v>
      </c>
      <c r="D30" s="17">
        <f t="shared" si="19"/>
        <v>0</v>
      </c>
      <c r="E30" s="17">
        <f t="shared" si="19"/>
        <v>0.02739726027</v>
      </c>
      <c r="F30" s="17">
        <f t="shared" si="19"/>
        <v>0.06849315068</v>
      </c>
      <c r="G30" s="17">
        <f t="shared" si="19"/>
        <v>0</v>
      </c>
      <c r="H30" s="17">
        <f t="shared" si="19"/>
        <v>0</v>
      </c>
      <c r="I30" s="17">
        <f t="shared" si="19"/>
        <v>0.02739726027</v>
      </c>
      <c r="J30" s="17">
        <f t="shared" si="19"/>
        <v>0.01369863014</v>
      </c>
    </row>
  </sheetData>
  <drawing r:id="rId1"/>
</worksheet>
</file>